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Подразделения\АА\Управление информатизации\Общие документы УИ\2025\4.2.1 Аукцион Внутренние накопители\Проработка\"/>
    </mc:Choice>
  </mc:AlternateContent>
  <bookViews>
    <workbookView xWindow="0" yWindow="0" windowWidth="25200" windowHeight="120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G13" i="1"/>
  <c r="E13" i="1"/>
  <c r="E15" i="1" l="1"/>
  <c r="G15" i="1"/>
  <c r="F15" i="1" l="1"/>
  <c r="F14" i="1"/>
  <c r="G14" i="1"/>
  <c r="E14" i="1"/>
  <c r="E16" i="1" l="1"/>
</calcChain>
</file>

<file path=xl/sharedStrings.xml><?xml version="1.0" encoding="utf-8"?>
<sst xmlns="http://schemas.openxmlformats.org/spreadsheetml/2006/main" count="40" uniqueCount="40">
  <si>
    <t>№ п/п</t>
  </si>
  <si>
    <t>Показатели</t>
  </si>
  <si>
    <t>Значения</t>
  </si>
  <si>
    <t>Основные характеристики объекта закупки</t>
  </si>
  <si>
    <t>Используемый метод определения НМЦК</t>
  </si>
  <si>
    <t>Основание для формирования НМЦК</t>
  </si>
  <si>
    <t>Наименование источника</t>
  </si>
  <si>
    <t>Реквизиты информации</t>
  </si>
  <si>
    <t>Цена товара (работы,  услуги) №1, руб.</t>
  </si>
  <si>
    <t>Коэффициент вариации, проц.</t>
  </si>
  <si>
    <t>Среднее (минимальное) значение цены единицы, руб.</t>
  </si>
  <si>
    <t>Метод сопоставимых рыночных цен (анализа рынка)</t>
  </si>
  <si>
    <t>Общая стоимость по позиции, руб.</t>
  </si>
  <si>
    <t>Источники информации о ценах и расчет НМЦК (ЦК)</t>
  </si>
  <si>
    <t>ИТОГО НМЦК (ЦК), руб.</t>
  </si>
  <si>
    <t>Количество закупаемых товаров (работ, услуг) и единицы измерения</t>
  </si>
  <si>
    <r>
      <t xml:space="preserve">Информация о рыночных ценах </t>
    </r>
    <r>
      <rPr>
        <b/>
        <u/>
        <sz val="10"/>
        <color theme="1"/>
        <rFont val="Times New Roman"/>
        <family val="1"/>
        <charset val="204"/>
      </rPr>
      <t>идентичных</t>
    </r>
    <r>
      <rPr>
        <sz val="10"/>
        <color theme="1"/>
        <rFont val="Times New Roman"/>
        <family val="1"/>
        <charset val="204"/>
      </rPr>
      <t xml:space="preserve"> товаров (работ, услуг)</t>
    </r>
  </si>
  <si>
    <r>
      <t>Информация о ценах товаров (работ, услуг)  получена с учетом сопоставимых с условиями планируемой закупки коммерческих и (или) финансовых условий поставок товаров (выполнения работ, оказания услуг); коэффициенты и (или) индексы для пересчета цен товаров (работ, услуг) с учетом различий в характеристиках товаров, коммерческих и (или) финансовых условий поставок товаров (выполнения работ, оказания услуг) заказчиком</t>
    </r>
    <r>
      <rPr>
        <b/>
        <i/>
        <u/>
        <sz val="10"/>
        <color theme="1"/>
        <rFont val="Times New Roman"/>
        <family val="1"/>
        <charset val="204"/>
      </rPr>
      <t xml:space="preserve"> не использовались</t>
    </r>
  </si>
  <si>
    <t xml:space="preserve">Наименование объекта закупки </t>
  </si>
  <si>
    <t>Поставщик № 1 (информация получена по письменному запросу Заказчика)</t>
  </si>
  <si>
    <t>Поставщик № 2 (информация получена по письменному запросу Заказчика)</t>
  </si>
  <si>
    <t>Поставщик № 3 (информация получена по письменному запросу Заказчика)</t>
  </si>
  <si>
    <r>
      <rPr>
        <sz val="10"/>
        <color theme="1"/>
        <rFont val="Times New Roman"/>
        <family val="1"/>
        <charset val="204"/>
      </rPr>
      <t xml:space="preserve">Характеристики товара (работы, услуги) № 1   </t>
    </r>
    <r>
      <rPr>
        <i/>
        <sz val="10"/>
        <color theme="1"/>
        <rFont val="Times New Roman"/>
        <family val="1"/>
        <charset val="204"/>
      </rPr>
      <t>В соответствии с описанием объекта закупки</t>
    </r>
  </si>
  <si>
    <t>(информация получена  в результате проведения процедуры запроса цен в ЕИС)</t>
  </si>
  <si>
    <r>
      <rPr>
        <sz val="10"/>
        <color theme="1"/>
        <rFont val="Times New Roman"/>
        <family val="1"/>
        <charset val="204"/>
      </rPr>
      <t xml:space="preserve">Характеристики товара (работы, услуги) № 3 </t>
    </r>
    <r>
      <rPr>
        <i/>
        <sz val="10"/>
        <color theme="1"/>
        <rFont val="Times New Roman"/>
        <family val="1"/>
        <charset val="204"/>
      </rPr>
      <t xml:space="preserve"> В соответствии с описанием объекта закупки</t>
    </r>
  </si>
  <si>
    <t>Характеристики товара (работы, услуги) № 2 В соответствии с описанием объекта закупки</t>
  </si>
  <si>
    <t>Наименование товара (работы, услуги) № 1     Накопитель данных внутренний тип 1</t>
  </si>
  <si>
    <t>Наименование товара (работы, услуги) №2 Накопитель данных внутренний тип 2</t>
  </si>
  <si>
    <t>Наименование товара (работы, услуги) №3 Накопитель данных внутренний тип 3</t>
  </si>
  <si>
    <t>Цена товара (работы,  услуги) №2, руб.</t>
  </si>
  <si>
    <t>Цена товара (работы,  услуги) № 3, руб.</t>
  </si>
  <si>
    <t>Внутренние накопители для ПК</t>
  </si>
  <si>
    <t>Обоснование начальной (максимальной) цены контракта</t>
  </si>
  <si>
    <r>
      <t xml:space="preserve">реквизиты запроса (исходящие дата, номер)
</t>
    </r>
    <r>
      <rPr>
        <i/>
        <sz val="10"/>
        <rFont val="Times New Roman"/>
        <family val="1"/>
        <charset val="204"/>
      </rPr>
      <t xml:space="preserve">Запрос от 18.04.2025 б/н 
</t>
    </r>
    <r>
      <rPr>
        <sz val="10"/>
        <rFont val="Times New Roman"/>
        <family val="1"/>
        <charset val="204"/>
      </rPr>
      <t xml:space="preserve">реквизиты ответа (входящие дата, номер)
</t>
    </r>
    <r>
      <rPr>
        <i/>
        <sz val="10"/>
        <rFont val="Times New Roman"/>
        <family val="1"/>
        <charset val="204"/>
      </rPr>
      <t>Ценовое предложение от 18.04.2025 № 061-51-00072/25</t>
    </r>
  </si>
  <si>
    <r>
      <t xml:space="preserve">реквизиты запроса (исходящие дата, номер)
</t>
    </r>
    <r>
      <rPr>
        <i/>
        <sz val="10"/>
        <rFont val="Times New Roman"/>
        <family val="1"/>
        <charset val="204"/>
      </rPr>
      <t xml:space="preserve">Запрос от 18.04.2025 б/н 
</t>
    </r>
    <r>
      <rPr>
        <sz val="10"/>
        <rFont val="Times New Roman"/>
        <family val="1"/>
        <charset val="204"/>
      </rPr>
      <t xml:space="preserve">реквизиты ответа (входящие дата, номер)
</t>
    </r>
    <r>
      <rPr>
        <i/>
        <sz val="10"/>
        <rFont val="Times New Roman"/>
        <family val="1"/>
        <charset val="204"/>
      </rPr>
      <t>Ценовое предложение от 18.04.2025 № 061-51-00070/25</t>
    </r>
  </si>
  <si>
    <r>
      <t xml:space="preserve">реквизиты запроса (исходящие дата, номер)
</t>
    </r>
    <r>
      <rPr>
        <i/>
        <sz val="10"/>
        <rFont val="Times New Roman"/>
        <family val="1"/>
        <charset val="204"/>
      </rPr>
      <t xml:space="preserve">Запрос от 18.04.2025 б/н 
</t>
    </r>
    <r>
      <rPr>
        <sz val="10"/>
        <rFont val="Times New Roman"/>
        <family val="1"/>
        <charset val="204"/>
      </rPr>
      <t xml:space="preserve">реквизиты ответа (входящие дата, номер)
</t>
    </r>
    <r>
      <rPr>
        <i/>
        <sz val="10"/>
        <rFont val="Times New Roman"/>
        <family val="1"/>
        <charset val="204"/>
      </rPr>
      <t>Ценовое предложение от 18.04.2025 № 061-51-00071/25</t>
    </r>
  </si>
  <si>
    <t>Исполнитель: Савельева С.Н.</t>
  </si>
  <si>
    <t>р.т. 520349, доб.1356</t>
  </si>
  <si>
    <t>https://zakupki.gov.ru/epz/pricereq/card/common-info.html?priceRequestId=2352922
Ответов не поступало</t>
  </si>
  <si>
    <t xml:space="preserve">специалист отдела технической поддержки управления информатизации аппарата администрации города Иркутска,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</si>
</sst>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₽&quot;_-;\-* #,##0.00\ &quot;₽&quot;_-;_-* &quot;-&quot;??\ &quot;₽&quot;_-;_-@_-"/>
  </numFmts>
  <fonts count="1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u/>
      <sz val="10"/>
      <color theme="1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b/>
      <i/>
      <u/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  <font>
      <i/>
      <sz val="10"/>
      <name val="Times New Roman"/>
      <family val="1"/>
      <charset val="204"/>
    </font>
    <font>
      <sz val="10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2" fillId="0" borderId="0" xfId="0" applyFont="1" applyAlignment="1">
      <alignment horizontal="center" vertical="top" wrapText="1"/>
    </xf>
    <xf numFmtId="0" fontId="0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1" fillId="0" borderId="1" xfId="1" applyBorder="1" applyAlignment="1">
      <alignment vertical="top" wrapText="1"/>
    </xf>
    <xf numFmtId="0" fontId="1" fillId="0" borderId="0" xfId="0" applyFont="1" applyAlignment="1">
      <alignment vertical="top"/>
    </xf>
    <xf numFmtId="2" fontId="7" fillId="0" borderId="1" xfId="0" applyNumberFormat="1" applyFont="1" applyBorder="1" applyAlignment="1">
      <alignment horizontal="center" vertical="center" wrapText="1"/>
    </xf>
    <xf numFmtId="44" fontId="7" fillId="0" borderId="1" xfId="0" applyNumberFormat="1" applyFont="1" applyBorder="1" applyAlignment="1">
      <alignment horizontal="center" vertical="center" wrapText="1"/>
    </xf>
    <xf numFmtId="44" fontId="7" fillId="0" borderId="2" xfId="0" applyNumberFormat="1" applyFont="1" applyBorder="1" applyAlignment="1">
      <alignment horizontal="center" vertical="center" wrapText="1"/>
    </xf>
    <xf numFmtId="44" fontId="7" fillId="0" borderId="4" xfId="0" applyNumberFormat="1" applyFont="1" applyBorder="1" applyAlignment="1">
      <alignment horizontal="center" vertical="center" wrapText="1"/>
    </xf>
    <xf numFmtId="44" fontId="8" fillId="0" borderId="3" xfId="0" applyNumberFormat="1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zakupki.gov.ru/epz/pricereq/card/common-info.html?priceRequestId=2352922&#1054;&#1090;&#1074;&#1077;&#1090;&#1086;&#1074;%20&#1085;&#1077;%20&#1087;&#1086;&#1089;&#1090;&#1091;&#1087;&#1072;&#1083;&#1086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3"/>
  <sheetViews>
    <sheetView tabSelected="1" view="pageBreakPreview" zoomScale="60" zoomScaleNormal="100" workbookViewId="0">
      <selection activeCell="J10" sqref="J10"/>
    </sheetView>
  </sheetViews>
  <sheetFormatPr defaultRowHeight="12.75" x14ac:dyDescent="0.25"/>
  <cols>
    <col min="1" max="1" width="5.7109375" style="1" bestFit="1" customWidth="1"/>
    <col min="2" max="2" width="18.5703125" style="1" customWidth="1"/>
    <col min="3" max="3" width="21.5703125" style="1" customWidth="1"/>
    <col min="4" max="4" width="39.5703125" style="1" customWidth="1"/>
    <col min="5" max="5" width="15.5703125" style="1" customWidth="1"/>
    <col min="6" max="6" width="15.5703125" style="2" customWidth="1"/>
    <col min="7" max="7" width="15.140625" style="1" customWidth="1"/>
    <col min="8" max="16384" width="9.140625" style="1"/>
  </cols>
  <sheetData>
    <row r="1" spans="1:7" ht="15" x14ac:dyDescent="0.25">
      <c r="A1" s="12" t="s">
        <v>32</v>
      </c>
      <c r="B1" s="13"/>
      <c r="C1" s="13"/>
      <c r="D1" s="13"/>
      <c r="E1" s="13"/>
      <c r="F1" s="13"/>
      <c r="G1" s="14"/>
    </row>
    <row r="2" spans="1:7" x14ac:dyDescent="0.25">
      <c r="A2" s="3" t="s">
        <v>0</v>
      </c>
      <c r="B2" s="3" t="s">
        <v>1</v>
      </c>
      <c r="C2" s="15" t="s">
        <v>2</v>
      </c>
      <c r="D2" s="16"/>
      <c r="E2" s="16"/>
      <c r="F2" s="16"/>
      <c r="G2" s="16"/>
    </row>
    <row r="3" spans="1:7" ht="76.5" x14ac:dyDescent="0.25">
      <c r="A3" s="4">
        <v>1</v>
      </c>
      <c r="B3" s="4" t="s">
        <v>18</v>
      </c>
      <c r="C3" s="19" t="s">
        <v>31</v>
      </c>
      <c r="D3" s="20"/>
      <c r="E3" s="4" t="s">
        <v>26</v>
      </c>
      <c r="F3" s="8" t="s">
        <v>27</v>
      </c>
      <c r="G3" s="4" t="s">
        <v>28</v>
      </c>
    </row>
    <row r="4" spans="1:7" ht="76.5" x14ac:dyDescent="0.25">
      <c r="A4" s="4">
        <v>2</v>
      </c>
      <c r="B4" s="4" t="s">
        <v>3</v>
      </c>
      <c r="C4" s="21"/>
      <c r="D4" s="22"/>
      <c r="E4" s="5" t="s">
        <v>22</v>
      </c>
      <c r="F4" s="8" t="s">
        <v>25</v>
      </c>
      <c r="G4" s="5" t="s">
        <v>24</v>
      </c>
    </row>
    <row r="5" spans="1:7" ht="51" x14ac:dyDescent="0.25">
      <c r="A5" s="4">
        <v>3</v>
      </c>
      <c r="B5" s="4" t="s">
        <v>15</v>
      </c>
      <c r="C5" s="21"/>
      <c r="D5" s="22"/>
      <c r="E5" s="4">
        <v>80</v>
      </c>
      <c r="F5" s="8">
        <v>100</v>
      </c>
      <c r="G5" s="4">
        <v>30</v>
      </c>
    </row>
    <row r="6" spans="1:7" ht="25.5" x14ac:dyDescent="0.25">
      <c r="A6" s="4">
        <v>4</v>
      </c>
      <c r="B6" s="4" t="s">
        <v>4</v>
      </c>
      <c r="C6" s="17" t="s">
        <v>11</v>
      </c>
      <c r="D6" s="18"/>
      <c r="E6" s="18"/>
      <c r="F6" s="18"/>
      <c r="G6" s="18"/>
    </row>
    <row r="7" spans="1:7" ht="25.5" x14ac:dyDescent="0.25">
      <c r="A7" s="4">
        <v>5</v>
      </c>
      <c r="B7" s="4" t="s">
        <v>5</v>
      </c>
      <c r="C7" s="10" t="s">
        <v>16</v>
      </c>
      <c r="D7" s="11"/>
      <c r="E7" s="11"/>
      <c r="F7" s="11"/>
      <c r="G7" s="11"/>
    </row>
    <row r="8" spans="1:7" ht="38.25" x14ac:dyDescent="0.25">
      <c r="A8" s="10">
        <v>6</v>
      </c>
      <c r="B8" s="10" t="s">
        <v>13</v>
      </c>
      <c r="C8" s="3" t="s">
        <v>6</v>
      </c>
      <c r="D8" s="3" t="s">
        <v>7</v>
      </c>
      <c r="E8" s="3" t="s">
        <v>8</v>
      </c>
      <c r="F8" s="9" t="s">
        <v>29</v>
      </c>
      <c r="G8" s="3" t="s">
        <v>30</v>
      </c>
    </row>
    <row r="9" spans="1:7" ht="63.75" x14ac:dyDescent="0.25">
      <c r="A9" s="11"/>
      <c r="B9" s="11"/>
      <c r="C9" s="4" t="s">
        <v>19</v>
      </c>
      <c r="D9" s="6" t="s">
        <v>33</v>
      </c>
      <c r="E9" s="26">
        <v>1850</v>
      </c>
      <c r="F9" s="26">
        <v>1850</v>
      </c>
      <c r="G9" s="26">
        <v>2950</v>
      </c>
    </row>
    <row r="10" spans="1:7" ht="63.75" x14ac:dyDescent="0.25">
      <c r="A10" s="11"/>
      <c r="B10" s="11"/>
      <c r="C10" s="4" t="s">
        <v>20</v>
      </c>
      <c r="D10" s="6" t="s">
        <v>34</v>
      </c>
      <c r="E10" s="26">
        <v>1873.15</v>
      </c>
      <c r="F10" s="26">
        <v>1814.3</v>
      </c>
      <c r="G10" s="26">
        <v>2940.05</v>
      </c>
    </row>
    <row r="11" spans="1:7" ht="63.75" x14ac:dyDescent="0.25">
      <c r="A11" s="11"/>
      <c r="B11" s="11"/>
      <c r="C11" s="4" t="s">
        <v>21</v>
      </c>
      <c r="D11" s="6" t="s">
        <v>35</v>
      </c>
      <c r="E11" s="26">
        <v>1848</v>
      </c>
      <c r="F11" s="26">
        <v>1815</v>
      </c>
      <c r="G11" s="26">
        <v>2915</v>
      </c>
    </row>
    <row r="12" spans="1:7" s="2" customFormat="1" ht="60" x14ac:dyDescent="0.25">
      <c r="A12" s="11"/>
      <c r="B12" s="11"/>
      <c r="C12" s="7" t="s">
        <v>23</v>
      </c>
      <c r="D12" s="23" t="s">
        <v>38</v>
      </c>
      <c r="E12" s="25"/>
      <c r="F12" s="25"/>
      <c r="G12" s="25"/>
    </row>
    <row r="13" spans="1:7" s="2" customFormat="1" x14ac:dyDescent="0.25">
      <c r="A13" s="11"/>
      <c r="B13" s="11"/>
      <c r="C13" s="10" t="s">
        <v>10</v>
      </c>
      <c r="D13" s="11"/>
      <c r="E13" s="26">
        <f>ROUND(AVERAGE(E11,E10,E9),2)</f>
        <v>1857.05</v>
      </c>
      <c r="F13" s="26">
        <f t="shared" ref="F13:G13" si="0">ROUND(AVERAGE(F11,F10,F9),2)</f>
        <v>1826.43</v>
      </c>
      <c r="G13" s="26">
        <f t="shared" si="0"/>
        <v>2935.02</v>
      </c>
    </row>
    <row r="14" spans="1:7" s="2" customFormat="1" x14ac:dyDescent="0.25">
      <c r="A14" s="11"/>
      <c r="B14" s="11"/>
      <c r="C14" s="10" t="s">
        <v>9</v>
      </c>
      <c r="D14" s="11"/>
      <c r="E14" s="25">
        <f>STDEVA(E9:E11)/E13*100</f>
        <v>0.75274350553313618</v>
      </c>
      <c r="F14" s="25">
        <f>STDEVA(F9:F11)/F13*100</f>
        <v>1.1176082780819285</v>
      </c>
      <c r="G14" s="25">
        <f>STDEVA(G9:G11)/G13*100</f>
        <v>0.6144664056967426</v>
      </c>
    </row>
    <row r="15" spans="1:7" x14ac:dyDescent="0.25">
      <c r="A15" s="11"/>
      <c r="B15" s="11"/>
      <c r="C15" s="10" t="s">
        <v>12</v>
      </c>
      <c r="D15" s="11"/>
      <c r="E15" s="26">
        <f>E13*E5</f>
        <v>148564</v>
      </c>
      <c r="F15" s="26">
        <f>F13*F5</f>
        <v>182643</v>
      </c>
      <c r="G15" s="26">
        <f>G13*G5</f>
        <v>88050.6</v>
      </c>
    </row>
    <row r="16" spans="1:7" ht="15" x14ac:dyDescent="0.25">
      <c r="A16" s="11"/>
      <c r="B16" s="11"/>
      <c r="C16" s="17" t="s">
        <v>14</v>
      </c>
      <c r="D16" s="18"/>
      <c r="E16" s="27">
        <f>SUM(E15:G15)</f>
        <v>419257.59999999998</v>
      </c>
      <c r="F16" s="28"/>
      <c r="G16" s="29"/>
    </row>
    <row r="17" spans="1:7" ht="52.5" customHeight="1" x14ac:dyDescent="0.25">
      <c r="A17" s="11"/>
      <c r="B17" s="11"/>
      <c r="C17" s="10" t="s">
        <v>17</v>
      </c>
      <c r="D17" s="11"/>
      <c r="E17" s="11"/>
      <c r="F17" s="11"/>
      <c r="G17" s="11"/>
    </row>
    <row r="20" spans="1:7" ht="25.5" x14ac:dyDescent="0.25">
      <c r="B20" s="2" t="s">
        <v>36</v>
      </c>
    </row>
    <row r="21" spans="1:7" x14ac:dyDescent="0.25">
      <c r="B21" s="24" t="s">
        <v>39</v>
      </c>
      <c r="C21" s="24"/>
      <c r="D21" s="24"/>
      <c r="E21" s="24"/>
      <c r="F21" s="24"/>
    </row>
    <row r="22" spans="1:7" x14ac:dyDescent="0.25">
      <c r="B22" s="2" t="s">
        <v>37</v>
      </c>
    </row>
    <row r="23" spans="1:7" x14ac:dyDescent="0.25">
      <c r="B23" s="2"/>
    </row>
  </sheetData>
  <mergeCells count="15">
    <mergeCell ref="B8:B17"/>
    <mergeCell ref="A8:A17"/>
    <mergeCell ref="A1:G1"/>
    <mergeCell ref="C7:G7"/>
    <mergeCell ref="C2:G2"/>
    <mergeCell ref="C13:D13"/>
    <mergeCell ref="C14:D14"/>
    <mergeCell ref="C17:G17"/>
    <mergeCell ref="C15:D15"/>
    <mergeCell ref="C16:D16"/>
    <mergeCell ref="C6:G6"/>
    <mergeCell ref="C3:D3"/>
    <mergeCell ref="C4:D4"/>
    <mergeCell ref="C5:D5"/>
    <mergeCell ref="E16:G16"/>
  </mergeCells>
  <hyperlinks>
    <hyperlink ref="D12" r:id="rId1"/>
  </hyperlinks>
  <pageMargins left="0.7" right="0.7" top="0.75" bottom="0.75" header="0.3" footer="0.3"/>
  <pageSetup paperSize="9" scale="66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Черепанова Оксана Владимировна</dc:creator>
  <cp:lastModifiedBy>Савельева Светлана Николаевна</cp:lastModifiedBy>
  <cp:lastPrinted>2025-04-22T03:09:48Z</cp:lastPrinted>
  <dcterms:created xsi:type="dcterms:W3CDTF">2024-02-05T01:19:00Z</dcterms:created>
  <dcterms:modified xsi:type="dcterms:W3CDTF">2025-04-22T09:24:49Z</dcterms:modified>
</cp:coreProperties>
</file>